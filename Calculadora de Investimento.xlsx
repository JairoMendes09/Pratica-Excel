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482D4F0B-AA73-F543-A20C-4CA506C5A631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Calculadora " sheetId="1" r:id="rId1"/>
    <sheet name="DExPARA" sheetId="2" r:id="rId2"/>
  </sheets>
  <definedNames>
    <definedName name="aporte">'Calculadora '!$D$17</definedName>
    <definedName name="patrimonio">'Calculadora '!$D$20</definedName>
    <definedName name="qtd_anos">'Calculadora '!$D$18</definedName>
    <definedName name="rendimento_carteira">'Calculadora '!$D$13</definedName>
    <definedName name="salario">'Calculadora '!$D$12</definedName>
    <definedName name="sugestao_investimento">'Calculadora '!$D$14</definedName>
    <definedName name="taxa_mensal">'Calculadora '!$D$19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41" i="1"/>
  <c r="C40" i="1"/>
  <c r="C39" i="1"/>
  <c r="C38" i="1"/>
  <c r="C36" i="1"/>
  <c r="D19" i="1"/>
  <c r="D14" i="1"/>
  <c r="D17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/>
  <c r="C27" i="1"/>
  <c r="D27" i="1"/>
  <c r="C26" i="1"/>
  <c r="D26" i="1"/>
  <c r="C25" i="1"/>
  <c r="D25" i="1"/>
  <c r="C28" i="1"/>
  <c r="D28" i="1"/>
  <c r="C24" i="1"/>
  <c r="D24" i="1"/>
  <c r="D36" i="1"/>
  <c r="D41" i="1"/>
  <c r="D39" i="1"/>
  <c r="D38" i="1"/>
  <c r="D40" i="1"/>
  <c r="D37" i="1"/>
  <c r="D42" i="1"/>
</calcChain>
</file>

<file path=xl/sharedStrings.xml><?xml version="1.0" encoding="utf-8"?>
<sst xmlns="http://schemas.openxmlformats.org/spreadsheetml/2006/main" count="69" uniqueCount="33">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</sst>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4" xfId="0" applyFont="1" applyFill="1" applyBorder="1" applyAlignment="1">
      <alignment horizontal="left" indent="3"/>
    </xf>
    <xf numFmtId="166" fontId="10" fillId="3" borderId="5" xfId="0" applyNumberFormat="1" applyFont="1" applyFill="1" applyBorder="1" applyAlignment="1">
      <alignment horizontal="center"/>
    </xf>
    <xf numFmtId="166" fontId="10" fillId="3" borderId="6" xfId="0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left" indent="3"/>
    </xf>
    <xf numFmtId="166" fontId="10" fillId="3" borderId="8" xfId="0" applyNumberFormat="1" applyFont="1" applyFill="1" applyBorder="1" applyAlignment="1">
      <alignment horizontal="center"/>
    </xf>
    <xf numFmtId="166" fontId="10" fillId="3" borderId="9" xfId="0" applyNumberFormat="1" applyFont="1" applyFill="1" applyBorder="1" applyAlignment="1">
      <alignment horizontal="center"/>
    </xf>
    <xf numFmtId="0" fontId="9" fillId="3" borderId="10" xfId="0" applyFont="1" applyFill="1" applyBorder="1" applyAlignment="1">
      <alignment horizontal="left" indent="3"/>
    </xf>
    <xf numFmtId="166" fontId="10" fillId="3" borderId="11" xfId="0" applyNumberFormat="1" applyFont="1" applyFill="1" applyBorder="1" applyAlignment="1">
      <alignment horizontal="center"/>
    </xf>
    <xf numFmtId="166" fontId="10" fillId="3" borderId="12" xfId="0" applyNumberFormat="1" applyFont="1" applyFill="1" applyBorder="1" applyAlignment="1">
      <alignment horizontal="center"/>
    </xf>
    <xf numFmtId="166" fontId="11" fillId="0" borderId="15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0" fontId="11" fillId="0" borderId="18" xfId="0" applyNumberFormat="1" applyFont="1" applyBorder="1" applyAlignment="1">
      <alignment horizontal="center"/>
    </xf>
    <xf numFmtId="164" fontId="11" fillId="3" borderId="18" xfId="0" applyNumberFormat="1" applyFont="1" applyFill="1" applyBorder="1" applyAlignment="1">
      <alignment horizontal="center"/>
    </xf>
    <xf numFmtId="164" fontId="11" fillId="3" borderId="21" xfId="0" applyNumberFormat="1" applyFont="1" applyFill="1" applyBorder="1" applyAlignment="1">
      <alignment horizontal="center"/>
    </xf>
    <xf numFmtId="166" fontId="10" fillId="0" borderId="15" xfId="1" applyNumberFormat="1" applyFont="1" applyBorder="1" applyAlignment="1">
      <alignment horizontal="center"/>
    </xf>
    <xf numFmtId="10" fontId="10" fillId="0" borderId="18" xfId="0" applyNumberFormat="1" applyFont="1" applyBorder="1" applyAlignment="1">
      <alignment horizontal="center"/>
    </xf>
    <xf numFmtId="166" fontId="10" fillId="4" borderId="21" xfId="0" applyNumberFormat="1" applyFont="1" applyFill="1" applyBorder="1" applyAlignment="1">
      <alignment horizontal="center"/>
    </xf>
    <xf numFmtId="0" fontId="3" fillId="4" borderId="0" xfId="0" applyFont="1" applyFill="1"/>
    <xf numFmtId="166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6" fontId="3" fillId="5" borderId="0" xfId="0" applyNumberFormat="1" applyFon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9" fillId="4" borderId="13" xfId="0" applyFont="1" applyFill="1" applyBorder="1" applyAlignment="1">
      <alignment horizontal="left" indent="3"/>
    </xf>
    <xf numFmtId="0" fontId="9" fillId="4" borderId="14" xfId="0" applyFont="1" applyFill="1" applyBorder="1" applyAlignment="1">
      <alignment horizontal="left" indent="3"/>
    </xf>
    <xf numFmtId="0" fontId="9" fillId="4" borderId="16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12" fillId="3" borderId="19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9" fillId="4" borderId="19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12" fillId="3" borderId="16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5" fillId="7" borderId="1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4" fillId="7" borderId="0" xfId="3" applyFont="1" applyFill="1"/>
    <xf numFmtId="0" fontId="4" fillId="7" borderId="0" xfId="3" applyFont="1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2" fillId="0" borderId="0" xfId="3" applyFill="1"/>
    <xf numFmtId="9" fontId="2" fillId="0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Visão de Investimento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'Calculadora '!$C$35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'Calculadora 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'Calculadora '!$C$36:$C$41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83178623"/>
        <c:axId val="1083180415"/>
      </c:barChart>
      <c:catAx>
        <c:axId val="108317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80415"/>
        <c:auto val="1"/>
        <c:lblAlgn val="ctr"/>
        <c:lblOffset val="100"/>
        <c:noMultiLvlLbl val="0"/>
      </c:catAx>
      <c:valAx>
        <c:axId val="108318041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083178623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280416</xdr:colOff>
      <xdr:row>47</xdr:row>
      <xdr:rowOff>170688</xdr:rowOff>
    </xdr:from>
    <xdr:to>
      <xdr:col>3</xdr:col>
      <xdr:colOff>855545</xdr:colOff>
      <xdr:row>59</xdr:row>
      <xdr:rowOff>145560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42672</xdr:rowOff>
    </xdr:from>
    <xdr:to>
      <xdr:col>4</xdr:col>
      <xdr:colOff>103632</xdr:colOff>
      <xdr:row>7</xdr:row>
      <xdr:rowOff>170688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542655F-847A-CCBA-C688-B093F6FECC7B}"/>
            </a:ext>
          </a:extLst>
        </xdr:cNvPr>
        <xdr:cNvSpPr/>
      </xdr:nvSpPr>
      <xdr:spPr>
        <a:xfrm>
          <a:off x="0" y="237744"/>
          <a:ext cx="6108192" cy="1298448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/>
            <a:t>CALCULADORA  DE INVESTIMENTOS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42"/>
  <sheetViews>
    <sheetView showGridLines="0" tabSelected="1" topLeftCell="B3" zoomScale="110" zoomScaleNormal="110" workbookViewId="0">
      <selection activeCell="E13" sqref="E13"/>
    </sheetView>
  </sheetViews>
  <sheetFormatPr defaultColWidth="0" defaultRowHeight="15" x14ac:dyDescent="0.2"/>
  <cols>
    <col min="1" max="1" width="5.51171875" customWidth="1"/>
    <col min="2" max="2" width="46.8125" customWidth="1"/>
    <col min="3" max="3" width="17.484375" bestFit="1" customWidth="1"/>
    <col min="4" max="4" width="14.9296875" customWidth="1"/>
    <col min="5" max="8" width="3.49609375" customWidth="1"/>
    <col min="9" max="16384" width="8.7421875" hidden="1"/>
  </cols>
  <sheetData>
    <row r="10" spans="2:4" ht="15.75" thickBot="1" x14ac:dyDescent="0.25"/>
    <row r="11" spans="2:4" ht="26.25" x14ac:dyDescent="0.25">
      <c r="B11" s="40" t="s">
        <v>15</v>
      </c>
      <c r="C11" s="41"/>
      <c r="D11" s="42"/>
    </row>
    <row r="12" spans="2:4" ht="17.25" x14ac:dyDescent="0.25">
      <c r="B12" s="30" t="s">
        <v>14</v>
      </c>
      <c r="C12" s="31"/>
      <c r="D12" s="19">
        <v>3000</v>
      </c>
    </row>
    <row r="13" spans="2:4" ht="17.25" x14ac:dyDescent="0.25">
      <c r="B13" s="32" t="s">
        <v>13</v>
      </c>
      <c r="C13" s="33"/>
      <c r="D13" s="20">
        <v>8.9999999999999993E-3</v>
      </c>
    </row>
    <row r="14" spans="2:4" ht="18" thickBot="1" x14ac:dyDescent="0.3">
      <c r="B14" s="36" t="s">
        <v>32</v>
      </c>
      <c r="C14" s="37"/>
      <c r="D14" s="21">
        <f>D12*20%</f>
        <v>600</v>
      </c>
    </row>
    <row r="15" spans="2:4" ht="15.75" thickBot="1" x14ac:dyDescent="0.25"/>
    <row r="16" spans="2:4" ht="28.5" customHeight="1" x14ac:dyDescent="0.2">
      <c r="B16" s="43" t="s">
        <v>5</v>
      </c>
      <c r="C16" s="44"/>
      <c r="D16" s="45"/>
    </row>
    <row r="17" spans="1:6" ht="17.25" x14ac:dyDescent="0.25">
      <c r="B17" s="30" t="s">
        <v>0</v>
      </c>
      <c r="C17" s="31"/>
      <c r="D17" s="14">
        <f>sugestao_investimento</f>
        <v>600</v>
      </c>
    </row>
    <row r="18" spans="1:6" ht="17.25" x14ac:dyDescent="0.25">
      <c r="B18" s="32" t="s">
        <v>1</v>
      </c>
      <c r="C18" s="33"/>
      <c r="D18" s="15">
        <v>3</v>
      </c>
    </row>
    <row r="19" spans="1:6" ht="17.25" x14ac:dyDescent="0.25">
      <c r="B19" s="32" t="s">
        <v>2</v>
      </c>
      <c r="C19" s="33"/>
      <c r="D19" s="16">
        <f>rendimento_carteira</f>
        <v>8.9999999999999993E-3</v>
      </c>
    </row>
    <row r="20" spans="1:6" ht="17.25" x14ac:dyDescent="0.25">
      <c r="B20" s="38" t="s">
        <v>3</v>
      </c>
      <c r="C20" s="39"/>
      <c r="D20" s="17">
        <f>FV(taxa_mensal,qtd_anos*12,aporte*-1)</f>
        <v>25376.324873920916</v>
      </c>
    </row>
    <row r="21" spans="1:6" ht="18" thickBot="1" x14ac:dyDescent="0.3">
      <c r="B21" s="34" t="s">
        <v>4</v>
      </c>
      <c r="C21" s="35"/>
      <c r="D21" s="18">
        <f>patrimonio*rendimento_carteira</f>
        <v>228.38692386528822</v>
      </c>
      <c r="F21" s="3"/>
    </row>
    <row r="22" spans="1:6" ht="15.75" thickBot="1" x14ac:dyDescent="0.25"/>
    <row r="23" spans="1:6" ht="29.25" x14ac:dyDescent="0.2">
      <c r="B23" s="43" t="s">
        <v>11</v>
      </c>
      <c r="C23" s="44"/>
      <c r="D23" s="46" t="s">
        <v>12</v>
      </c>
    </row>
    <row r="24" spans="1:6" ht="17.25" x14ac:dyDescent="0.25">
      <c r="A24" s="1">
        <v>2</v>
      </c>
      <c r="B24" s="5" t="s">
        <v>6</v>
      </c>
      <c r="C24" s="6">
        <f>FV($D$19,$A24*12,$D$17*-1)</f>
        <v>15993.58641480695</v>
      </c>
      <c r="D24" s="7">
        <f>C24*rendimento_carteira</f>
        <v>143.94227773326253</v>
      </c>
    </row>
    <row r="25" spans="1:6" ht="17.25" x14ac:dyDescent="0.25">
      <c r="A25" s="1">
        <v>5</v>
      </c>
      <c r="B25" s="8" t="s">
        <v>7</v>
      </c>
      <c r="C25" s="9">
        <f>FV($D$19,$A25*12,$D$17*-1)</f>
        <v>47457.787960146903</v>
      </c>
      <c r="D25" s="10">
        <f>C25*rendimento_carteira</f>
        <v>427.12009164132212</v>
      </c>
    </row>
    <row r="26" spans="1:6" ht="17.25" x14ac:dyDescent="0.25">
      <c r="A26" s="1">
        <v>10</v>
      </c>
      <c r="B26" s="8" t="s">
        <v>8</v>
      </c>
      <c r="C26" s="9">
        <f>FV($D$19,$A26*12,$D$17*-1)</f>
        <v>128699.20049134777</v>
      </c>
      <c r="D26" s="10">
        <f>C26*rendimento_carteira</f>
        <v>1158.2928044221298</v>
      </c>
    </row>
    <row r="27" spans="1:6" ht="17.25" x14ac:dyDescent="0.25">
      <c r="A27" s="1">
        <v>20</v>
      </c>
      <c r="B27" s="8" t="s">
        <v>9</v>
      </c>
      <c r="C27" s="9">
        <f>FV($D$19,$A27*12,$D$17*-1)</f>
        <v>505850.66408937727</v>
      </c>
      <c r="D27" s="10">
        <f>C27*rendimento_carteira</f>
        <v>4552.6559768043953</v>
      </c>
    </row>
    <row r="28" spans="1:6" ht="18" thickBot="1" x14ac:dyDescent="0.3">
      <c r="A28" s="1">
        <v>30</v>
      </c>
      <c r="B28" s="11" t="s">
        <v>10</v>
      </c>
      <c r="C28" s="12">
        <f>FV($D$19,$A28*12,$D$17*-1)</f>
        <v>1611088.5051255275</v>
      </c>
      <c r="D28" s="13">
        <f>C28*rendimento_carteira</f>
        <v>14499.796546129746</v>
      </c>
    </row>
    <row r="32" spans="1:6" x14ac:dyDescent="0.2">
      <c r="B32" s="47" t="s">
        <v>20</v>
      </c>
      <c r="C32" s="48" t="s">
        <v>17</v>
      </c>
      <c r="D32" s="47"/>
    </row>
    <row r="33" spans="2:4" x14ac:dyDescent="0.2">
      <c r="B33" s="22" t="s">
        <v>19</v>
      </c>
      <c r="C33" s="23">
        <f>aporte</f>
        <v>600</v>
      </c>
      <c r="D33" s="22"/>
    </row>
    <row r="35" spans="2:4" x14ac:dyDescent="0.2">
      <c r="B35" s="24" t="s">
        <v>21</v>
      </c>
      <c r="C35" s="24" t="s">
        <v>22</v>
      </c>
      <c r="D35" s="24" t="s">
        <v>23</v>
      </c>
    </row>
    <row r="36" spans="2:4" x14ac:dyDescent="0.2">
      <c r="B36" s="2" t="s">
        <v>24</v>
      </c>
      <c r="C36" s="4">
        <f>_xlfn.XLOOKUP($C$32&amp;"-"&amp;B36,DExPARA!A:A,DExPARA!D:D)</f>
        <v>0.32</v>
      </c>
      <c r="D36" s="27">
        <f>C36*$C$33</f>
        <v>192</v>
      </c>
    </row>
    <row r="37" spans="2:4" x14ac:dyDescent="0.2">
      <c r="B37" s="2" t="s">
        <v>25</v>
      </c>
      <c r="C37" s="4">
        <f>_xlfn.XLOOKUP($C$32&amp;"-"&amp;B37,DExPARA!A:A,DExPARA!D:D)</f>
        <v>0.35</v>
      </c>
      <c r="D37" s="27">
        <f t="shared" ref="D37:D41" si="0">C37*$C$33</f>
        <v>210</v>
      </c>
    </row>
    <row r="38" spans="2:4" x14ac:dyDescent="0.2">
      <c r="B38" s="2" t="s">
        <v>26</v>
      </c>
      <c r="C38" s="4">
        <f>_xlfn.XLOOKUP($C$32&amp;"-"&amp;B38,DExPARA!A:A,DExPARA!D:D)</f>
        <v>0.08</v>
      </c>
      <c r="D38" s="27">
        <f t="shared" si="0"/>
        <v>48</v>
      </c>
    </row>
    <row r="39" spans="2:4" x14ac:dyDescent="0.2">
      <c r="B39" s="2" t="s">
        <v>27</v>
      </c>
      <c r="C39" s="4">
        <f>_xlfn.XLOOKUP($C$32&amp;"-"&amp;B39,DExPARA!A:A,DExPARA!D:D)</f>
        <v>0.05</v>
      </c>
      <c r="D39" s="27">
        <f t="shared" si="0"/>
        <v>30</v>
      </c>
    </row>
    <row r="40" spans="2:4" x14ac:dyDescent="0.2">
      <c r="B40" s="2" t="s">
        <v>28</v>
      </c>
      <c r="C40" s="4">
        <f>_xlfn.XLOOKUP($C$32&amp;"-"&amp;B40,DExPARA!A:A,DExPARA!D:D)</f>
        <v>0.1</v>
      </c>
      <c r="D40" s="27">
        <f t="shared" si="0"/>
        <v>60</v>
      </c>
    </row>
    <row r="41" spans="2:4" x14ac:dyDescent="0.2">
      <c r="B41" s="2" t="s">
        <v>29</v>
      </c>
      <c r="C41" s="4">
        <f>_xlfn.XLOOKUP($C$32&amp;"-"&amp;B41,DExPARA!A:A,DExPARA!D:D)</f>
        <v>0.1</v>
      </c>
      <c r="D41" s="27">
        <f t="shared" si="0"/>
        <v>60</v>
      </c>
    </row>
    <row r="42" spans="2:4" x14ac:dyDescent="0.2">
      <c r="B42" s="25"/>
      <c r="C42" s="25"/>
      <c r="D42" s="26">
        <f>SUM(D36:D41)</f>
        <v>600</v>
      </c>
    </row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topLeftCell="B1" zoomScale="115" zoomScaleNormal="115" workbookViewId="0">
      <selection activeCell="A48" sqref="A48"/>
    </sheetView>
  </sheetViews>
  <sheetFormatPr defaultRowHeight="15" x14ac:dyDescent="0.2"/>
  <cols>
    <col min="1" max="1" width="29.19140625" bestFit="1" customWidth="1"/>
    <col min="2" max="2" width="11.56640625" bestFit="1" customWidth="1"/>
    <col min="3" max="3" width="17.75390625" bestFit="1" customWidth="1"/>
    <col min="7" max="7" width="15.33203125" bestFit="1" customWidth="1"/>
  </cols>
  <sheetData>
    <row r="2" spans="1:8" x14ac:dyDescent="0.2">
      <c r="A2" s="28" t="s">
        <v>31</v>
      </c>
      <c r="B2" s="28" t="s">
        <v>20</v>
      </c>
      <c r="C2" s="29" t="s">
        <v>21</v>
      </c>
      <c r="D2" s="29" t="s">
        <v>30</v>
      </c>
    </row>
    <row r="3" spans="1:8" x14ac:dyDescent="0.2">
      <c r="A3" s="49" t="str">
        <f>B3&amp;"-"&amp;C3</f>
        <v>Conservador-PAPEL</v>
      </c>
      <c r="B3" s="49" t="s">
        <v>16</v>
      </c>
      <c r="C3" s="50" t="s">
        <v>24</v>
      </c>
      <c r="D3" s="51">
        <v>0.3</v>
      </c>
    </row>
    <row r="4" spans="1:8" x14ac:dyDescent="0.2">
      <c r="A4" s="49" t="str">
        <f t="shared" ref="A4:A20" si="0">B4&amp;"-"&amp;C4</f>
        <v>Conservador-TIJOLO</v>
      </c>
      <c r="B4" s="49" t="s">
        <v>16</v>
      </c>
      <c r="C4" s="50" t="s">
        <v>25</v>
      </c>
      <c r="D4" s="51">
        <v>0.5</v>
      </c>
      <c r="G4" s="52"/>
      <c r="H4" s="53"/>
    </row>
    <row r="5" spans="1:8" x14ac:dyDescent="0.2">
      <c r="A5" s="49" t="str">
        <f t="shared" si="0"/>
        <v>Conservador-HÍBRIDOS</v>
      </c>
      <c r="B5" s="49" t="s">
        <v>16</v>
      </c>
      <c r="C5" s="50" t="s">
        <v>26</v>
      </c>
      <c r="D5" s="51">
        <v>0.1</v>
      </c>
    </row>
    <row r="6" spans="1:8" x14ac:dyDescent="0.2">
      <c r="A6" s="49" t="str">
        <f t="shared" si="0"/>
        <v>Conservador-FOFs</v>
      </c>
      <c r="B6" s="49" t="s">
        <v>16</v>
      </c>
      <c r="C6" s="50" t="s">
        <v>27</v>
      </c>
      <c r="D6" s="51">
        <v>0.1</v>
      </c>
    </row>
    <row r="7" spans="1:8" x14ac:dyDescent="0.2">
      <c r="A7" s="49" t="str">
        <f t="shared" si="0"/>
        <v>Conservador-DESENVOLVIMENTO</v>
      </c>
      <c r="B7" s="49" t="s">
        <v>16</v>
      </c>
      <c r="C7" s="50" t="s">
        <v>28</v>
      </c>
      <c r="D7" s="51">
        <v>0</v>
      </c>
    </row>
    <row r="8" spans="1:8" x14ac:dyDescent="0.2">
      <c r="A8" s="49" t="str">
        <f t="shared" si="0"/>
        <v>Conservador-HOTELARIAS</v>
      </c>
      <c r="B8" s="49" t="s">
        <v>16</v>
      </c>
      <c r="C8" s="50" t="s">
        <v>29</v>
      </c>
      <c r="D8" s="51">
        <v>0</v>
      </c>
    </row>
    <row r="9" spans="1:8" x14ac:dyDescent="0.2">
      <c r="A9" s="49" t="str">
        <f t="shared" si="0"/>
        <v>Moderado-PAPEL</v>
      </c>
      <c r="B9" s="49" t="s">
        <v>17</v>
      </c>
      <c r="C9" s="50" t="s">
        <v>24</v>
      </c>
      <c r="D9" s="51">
        <v>0.32</v>
      </c>
    </row>
    <row r="10" spans="1:8" x14ac:dyDescent="0.2">
      <c r="A10" s="49" t="str">
        <f t="shared" si="0"/>
        <v>Moderado-TIJOLO</v>
      </c>
      <c r="B10" s="49" t="s">
        <v>17</v>
      </c>
      <c r="C10" s="50" t="s">
        <v>25</v>
      </c>
      <c r="D10" s="51">
        <v>0.35</v>
      </c>
    </row>
    <row r="11" spans="1:8" x14ac:dyDescent="0.2">
      <c r="A11" s="49" t="str">
        <f t="shared" si="0"/>
        <v>Moderado-HÍBRIDOS</v>
      </c>
      <c r="B11" s="49" t="s">
        <v>17</v>
      </c>
      <c r="C11" s="50" t="s">
        <v>26</v>
      </c>
      <c r="D11" s="51">
        <v>0.08</v>
      </c>
    </row>
    <row r="12" spans="1:8" x14ac:dyDescent="0.2">
      <c r="A12" s="49" t="str">
        <f t="shared" si="0"/>
        <v>Moderado-FOFs</v>
      </c>
      <c r="B12" s="49" t="s">
        <v>17</v>
      </c>
      <c r="C12" s="50" t="s">
        <v>27</v>
      </c>
      <c r="D12" s="51">
        <v>0.05</v>
      </c>
    </row>
    <row r="13" spans="1:8" x14ac:dyDescent="0.2">
      <c r="A13" s="49" t="str">
        <f t="shared" si="0"/>
        <v>Moderado-DESENVOLVIMENTO</v>
      </c>
      <c r="B13" s="49" t="s">
        <v>17</v>
      </c>
      <c r="C13" s="50" t="s">
        <v>28</v>
      </c>
      <c r="D13" s="51">
        <v>0.1</v>
      </c>
    </row>
    <row r="14" spans="1:8" x14ac:dyDescent="0.2">
      <c r="A14" s="49" t="str">
        <f t="shared" si="0"/>
        <v>Moderado-HOTELARIAS</v>
      </c>
      <c r="B14" s="49" t="s">
        <v>17</v>
      </c>
      <c r="C14" s="50" t="s">
        <v>29</v>
      </c>
      <c r="D14" s="51">
        <v>0.1</v>
      </c>
    </row>
    <row r="15" spans="1:8" x14ac:dyDescent="0.2">
      <c r="A15" s="49" t="str">
        <f t="shared" si="0"/>
        <v>Agressivo-PAPEL</v>
      </c>
      <c r="B15" s="49" t="s">
        <v>18</v>
      </c>
      <c r="C15" s="50" t="s">
        <v>24</v>
      </c>
      <c r="D15" s="51">
        <v>0.5</v>
      </c>
    </row>
    <row r="16" spans="1:8" x14ac:dyDescent="0.2">
      <c r="A16" s="49" t="str">
        <f t="shared" si="0"/>
        <v>Agressivo-TIJOLO</v>
      </c>
      <c r="B16" s="49" t="s">
        <v>18</v>
      </c>
      <c r="C16" s="50" t="s">
        <v>25</v>
      </c>
      <c r="D16" s="51">
        <v>0.1</v>
      </c>
    </row>
    <row r="17" spans="1:4" x14ac:dyDescent="0.2">
      <c r="A17" s="49" t="str">
        <f t="shared" si="0"/>
        <v>Agressivo-HÍBRIDOS</v>
      </c>
      <c r="B17" s="49" t="s">
        <v>18</v>
      </c>
      <c r="C17" s="50" t="s">
        <v>26</v>
      </c>
      <c r="D17" s="51">
        <v>0.05</v>
      </c>
    </row>
    <row r="18" spans="1:4" x14ac:dyDescent="0.2">
      <c r="A18" s="49" t="str">
        <f t="shared" si="0"/>
        <v>Agressivo-FOFs</v>
      </c>
      <c r="B18" s="49" t="s">
        <v>18</v>
      </c>
      <c r="C18" s="50" t="s">
        <v>27</v>
      </c>
      <c r="D18" s="51">
        <v>0.05</v>
      </c>
    </row>
    <row r="19" spans="1:4" x14ac:dyDescent="0.2">
      <c r="A19" s="49" t="str">
        <f t="shared" si="0"/>
        <v>Agressivo-DESENVOLVIMENTO</v>
      </c>
      <c r="B19" s="49" t="s">
        <v>18</v>
      </c>
      <c r="C19" s="50" t="s">
        <v>28</v>
      </c>
      <c r="D19" s="51">
        <v>0.2</v>
      </c>
    </row>
    <row r="20" spans="1:4" x14ac:dyDescent="0.2">
      <c r="A20" s="49" t="str">
        <f t="shared" si="0"/>
        <v>Agressivo-HOTELARIAS</v>
      </c>
      <c r="B20" s="49" t="s">
        <v>18</v>
      </c>
      <c r="C20" s="50" t="s">
        <v>29</v>
      </c>
      <c r="D20" s="51">
        <v>0.1</v>
      </c>
    </row>
    <row r="21" spans="1:4" x14ac:dyDescent="0.2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www.w3.org/2000/xmlns/"/>
    <ds:schemaRef ds:uri="851b35d3-0456-4d6a-bc2f-da927e91d158"/>
    <ds:schemaRef ds:uri="http://schemas.microsoft.com/office/infopath/2007/PartnerControls"/>
    <ds:schemaRef ds:uri="19483571-f922-4e8e-9c1c-26f0a2252132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Calculadora </vt:lpstr>
      <vt:lpstr>DExPARA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Felipe Silva Aguiar</cp:lastModifiedBy>
  <dcterms:created xsi:type="dcterms:W3CDTF">2025-04-16T18:38:03Z</dcterms:created>
  <dcterms:modified xsi:type="dcterms:W3CDTF">2025-04-22T15:39:32Z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